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LC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<sst xmlns="http://schemas.openxmlformats.org/spreadsheetml/2006/main" count="65" uniqueCount="50">
  <si>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t>宇视Unigulf系列LCD大屏报价清单</t>
  </si>
  <si>
    <t>序号</t>
  </si>
  <si>
    <t>产品名称</t>
  </si>
  <si>
    <t>产品型号</t>
  </si>
  <si>
    <t>技术参数</t>
  </si>
  <si>
    <t>品牌</t>
  </si>
  <si>
    <t>数量</t>
  </si>
  <si>
    <t>单位</t>
  </si>
  <si>
    <t>单价(RMB)</t>
  </si>
  <si>
    <t>总价(RMB)</t>
  </si>
  <si>
    <t>备注</t>
  </si>
  <si>
    <t>液晶拼接屏</t>
  </si>
  <si>
    <t>DAPING_MINGCHENG</t>
  </si>
  <si>
    <t>DAPING_XINGHAO</t>
  </si>
  <si>
    <t>DAPING_CANSHU</t>
  </si>
  <si>
    <t>宇视</t>
  </si>
  <si>
    <t>SHULIANG</t>
  </si>
  <si>
    <t>块</t>
  </si>
  <si>
    <t>DAPING_DANJIA</t>
  </si>
  <si>
    <t>ZHIJIA_MINGCHENG</t>
  </si>
  <si>
    <t>ZHIJIA_XINGHAO</t>
  </si>
  <si>
    <t>ZHIJIA_CANSHU</t>
  </si>
  <si>
    <t>个</t>
  </si>
  <si>
    <t>ZHIJIA_DANJIA</t>
  </si>
  <si>
    <t>XIANCAI_MINGCHENG</t>
  </si>
  <si>
    <t>XIANCAI_XINGHAO</t>
  </si>
  <si>
    <t>XIANCAI_CANSHU</t>
  </si>
  <si>
    <t>根</t>
  </si>
  <si>
    <t>XIANCAI_DANJIA</t>
  </si>
  <si>
    <t>线材辅材</t>
  </si>
  <si>
    <t>定制</t>
  </si>
  <si>
    <t>电源排插、跳线等</t>
  </si>
  <si>
    <t>CHULIQI_MINGCHENG</t>
  </si>
  <si>
    <t>CHULIQI_XINGHAO</t>
  </si>
  <si>
    <t>CHULIQI_CANSHU</t>
  </si>
  <si>
    <t>台</t>
  </si>
  <si>
    <t>CHULIQI_DANJIA</t>
  </si>
  <si>
    <t>系统及软件</t>
  </si>
  <si>
    <t>EZWALL</t>
  </si>
  <si>
    <t>经典人机界面，操作简单，功能强大；
支持自由无限拼接及图形参数设置；
支持矩阵联动，兼容多种矩阵设备；</t>
  </si>
  <si>
    <t>YUNFEI_MINGCHENG</t>
  </si>
  <si>
    <t>YUNFEI_XINGHAO</t>
  </si>
  <si>
    <t>YUNFEI_CANSHU</t>
  </si>
  <si>
    <t>套</t>
  </si>
  <si>
    <t>YUNFEI_DANJIA</t>
  </si>
  <si>
    <t>ANZHUANGFEI_MINGCHENG</t>
  </si>
  <si>
    <t>ANZHUANGFEI_XINGHAO</t>
  </si>
  <si>
    <t>ANZHUANGFEI_CANSHU</t>
  </si>
  <si>
    <t>ANZHUANGFEI_DANJIA</t>
  </si>
  <si>
    <t>含税总价（单位：人民币）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</si>
</sst>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20"/>
      <name val="微软雅黑"/>
      <charset val="134"/>
    </font>
    <font>
      <b/>
      <sz val="10"/>
      <color indexed="9"/>
      <name val="微软雅黑"/>
      <charset val="134"/>
    </font>
    <font>
      <sz val="10"/>
      <color theme="1"/>
      <name val="微软雅黑"/>
      <charset val="134"/>
    </font>
    <font>
      <sz val="9"/>
      <name val="微软雅黑"/>
      <charset val="134"/>
    </font>
    <font>
      <b/>
      <sz val="11"/>
      <name val="微软雅黑"/>
      <charset val="134"/>
    </font>
    <font>
      <b/>
      <sz val="14"/>
      <color theme="1"/>
      <name val="微软雅黑"/>
      <charset val="134"/>
    </font>
    <font>
      <b/>
      <sz val="14"/>
      <color rgb="FFC00000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6" borderId="17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7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43" fontId="1" fillId="0" borderId="1" xfId="1" applyFont="1" applyBorder="1" applyAlignment="1">
      <alignment horizontal="center" vertical="center"/>
    </xf>
    <xf numFmtId="43" fontId="1" fillId="0" borderId="2" xfId="1" applyFont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 wrapText="1"/>
    </xf>
    <xf numFmtId="38" fontId="4" fillId="0" borderId="4" xfId="0" applyNumberFormat="1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 wrapText="1"/>
    </xf>
    <xf numFmtId="1" fontId="4" fillId="0" borderId="4" xfId="0" applyNumberFormat="1" applyFont="1" applyFill="1" applyBorder="1" applyAlignment="1">
      <alignment horizontal="center" vertical="center" wrapText="1"/>
    </xf>
    <xf numFmtId="40" fontId="4" fillId="0" borderId="4" xfId="0" applyNumberFormat="1" applyFont="1" applyFill="1" applyBorder="1" applyAlignment="1">
      <alignment horizontal="center" vertical="center" wrapText="1"/>
    </xf>
    <xf numFmtId="38" fontId="4" fillId="0" borderId="4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right" vertical="center" wrapText="1"/>
    </xf>
    <xf numFmtId="0" fontId="5" fillId="0" borderId="8" xfId="0" applyFont="1" applyFill="1" applyBorder="1" applyAlignment="1">
      <alignment horizontal="right" vertical="center" wrapText="1"/>
    </xf>
    <xf numFmtId="0" fontId="5" fillId="0" borderId="8" xfId="0" applyFont="1" applyFill="1" applyBorder="1" applyAlignment="1">
      <alignment vertical="center" wrapText="1"/>
    </xf>
    <xf numFmtId="43" fontId="1" fillId="0" borderId="9" xfId="1" applyFont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4" fontId="5" fillId="0" borderId="8" xfId="0" applyNumberFormat="1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152400</xdr:colOff>
      <xdr:row>0</xdr:row>
      <xdr:rowOff>38100</xdr:rowOff>
    </xdr:from>
    <xdr:to>
      <xdr:col>2</xdr:col>
      <xdr:colOff>95250</xdr:colOff>
      <xdr:row>1</xdr:row>
      <xdr:rowOff>11430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26" t="36532" r="13257" b="36869"/>
        <a:stretch>
          <a:fillRect/>
        </a:stretch>
      </xdr:blipFill>
      <xdr:spPr>
        <a:xfrm>
          <a:off x="152400" y="38100"/>
          <a:ext cx="1590675" cy="325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D8" sqref="D8"/>
    </sheetView>
  </sheetViews>
  <sheetFormatPr defaultColWidth="9" defaultRowHeight="13.5"/>
  <cols>
    <col min="2" max="2" width="12.625" customWidth="1"/>
    <col min="3" max="3" width="11.25" customWidth="1"/>
    <col min="4" max="4" width="34.125" customWidth="1"/>
    <col min="9" max="9" width="10.375" customWidth="1"/>
  </cols>
  <sheetData>
    <row r="1" ht="27.75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16"/>
    </row>
    <row r="2" ht="16.5" spans="1:10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17" t="s">
        <v>10</v>
      </c>
    </row>
    <row r="3" ht="16.5" spans="1:10">
      <c r="A3" s="5" t="s">
        <v>11</v>
      </c>
      <c r="B3" s="6"/>
      <c r="C3" s="6"/>
      <c r="D3" s="6"/>
      <c r="E3" s="6"/>
      <c r="F3" s="6"/>
      <c r="G3" s="6"/>
      <c r="H3" s="6"/>
      <c r="I3" s="6"/>
      <c r="J3" s="18"/>
    </row>
    <row r="4" ht="28.5" spans="1:10">
      <c r="A4" s="7">
        <v>1</v>
      </c>
      <c r="B4" s="8" t="s">
        <v>12</v>
      </c>
      <c r="C4" s="8" t="s">
        <v>13</v>
      </c>
      <c r="D4" s="8" t="s">
        <v>14</v>
      </c>
      <c r="E4" s="9" t="s">
        <v>15</v>
      </c>
      <c r="F4" s="10" t="s">
        <v>16</v>
      </c>
      <c r="G4" s="9" t="s">
        <v>17</v>
      </c>
      <c r="H4" s="11" t="s">
        <v>18</v>
      </c>
      <c r="I4" s="11" t="e">
        <f t="shared" ref="I4:I7" si="0">F4*H4</f>
        <v>#VALUE!</v>
      </c>
      <c r="J4" s="19"/>
    </row>
    <row r="5" ht="28.5" spans="1:10">
      <c r="A5" s="12">
        <v>2</v>
      </c>
      <c r="B5" s="8" t="s">
        <v>19</v>
      </c>
      <c r="C5" s="8" t="s">
        <v>20</v>
      </c>
      <c r="D5" s="8" t="s">
        <v>21</v>
      </c>
      <c r="E5" s="9" t="s">
        <v>15</v>
      </c>
      <c r="F5" s="10" t="s">
        <v>16</v>
      </c>
      <c r="G5" s="9" t="s">
        <v>22</v>
      </c>
      <c r="H5" s="11" t="s">
        <v>23</v>
      </c>
      <c r="I5" s="11" t="e">
        <f t="shared" si="0"/>
        <v>#VALUE!</v>
      </c>
      <c r="J5" s="20"/>
    </row>
    <row r="6" ht="28.5" spans="1:10">
      <c r="A6" s="7">
        <v>3</v>
      </c>
      <c r="B6" s="8" t="s">
        <v>24</v>
      </c>
      <c r="C6" s="8" t="s">
        <v>25</v>
      </c>
      <c r="D6" s="8" t="s">
        <v>26</v>
      </c>
      <c r="E6" s="9" t="s">
        <v>15</v>
      </c>
      <c r="F6" s="10" t="s">
        <v>16</v>
      </c>
      <c r="G6" s="9" t="s">
        <v>27</v>
      </c>
      <c r="H6" s="11" t="s">
        <v>28</v>
      </c>
      <c r="I6" s="11" t="e">
        <f t="shared" si="0"/>
        <v>#VALUE!</v>
      </c>
      <c r="J6" s="21"/>
    </row>
    <row r="7" ht="21" spans="1:10">
      <c r="A7" s="7">
        <v>4</v>
      </c>
      <c r="B7" s="8" t="s">
        <v>29</v>
      </c>
      <c r="C7" s="8" t="s">
        <v>30</v>
      </c>
      <c r="D7" s="8" t="s">
        <v>31</v>
      </c>
      <c r="E7" s="9" t="s">
        <v>30</v>
      </c>
      <c r="F7" s="10" t="s">
        <v>16</v>
      </c>
      <c r="G7" s="9" t="s">
        <v>27</v>
      </c>
      <c r="H7" s="11">
        <v>25</v>
      </c>
      <c r="I7" s="11" t="e">
        <f t="shared" si="0"/>
        <v>#VALUE!</v>
      </c>
      <c r="J7" s="21"/>
    </row>
    <row r="8" ht="28.5" spans="1:10">
      <c r="A8" s="12">
        <v>5</v>
      </c>
      <c r="B8" s="8" t="s">
        <v>32</v>
      </c>
      <c r="C8" s="8" t="s">
        <v>33</v>
      </c>
      <c r="D8" s="8" t="s">
        <v>34</v>
      </c>
      <c r="E8" s="9" t="s">
        <v>15</v>
      </c>
      <c r="F8" s="10">
        <v>1</v>
      </c>
      <c r="G8" s="9" t="s">
        <v>35</v>
      </c>
      <c r="H8" s="11" t="s">
        <v>36</v>
      </c>
      <c r="I8" s="11" t="e">
        <f>F8*H8</f>
        <v>#VALUE!</v>
      </c>
      <c r="J8" s="21"/>
    </row>
    <row r="9" ht="42.75" spans="1:10">
      <c r="A9" s="7">
        <v>6</v>
      </c>
      <c r="B9" s="8" t="s">
        <v>37</v>
      </c>
      <c r="C9" s="8" t="s">
        <v>38</v>
      </c>
      <c r="D9" s="8" t="s">
        <v>39</v>
      </c>
      <c r="E9" s="9" t="s">
        <v>15</v>
      </c>
      <c r="F9" s="10">
        <v>1</v>
      </c>
      <c r="G9" s="9" t="s">
        <v>35</v>
      </c>
      <c r="H9" s="11">
        <v>0</v>
      </c>
      <c r="I9" s="11">
        <f>F9*H9</f>
        <v>0</v>
      </c>
      <c r="J9" s="21"/>
    </row>
    <row r="10" ht="28.5" spans="1:10">
      <c r="A10" s="7">
        <v>7</v>
      </c>
      <c r="B10" s="8" t="s">
        <v>40</v>
      </c>
      <c r="C10" s="8" t="s">
        <v>41</v>
      </c>
      <c r="D10" s="8" t="s">
        <v>42</v>
      </c>
      <c r="E10" s="9" t="s">
        <v>15</v>
      </c>
      <c r="F10" s="10" t="s">
        <v>16</v>
      </c>
      <c r="G10" s="9" t="s">
        <v>43</v>
      </c>
      <c r="H10" s="11" t="s">
        <v>44</v>
      </c>
      <c r="I10" s="11" t="e">
        <f>F10*H10</f>
        <v>#VALUE!</v>
      </c>
      <c r="J10" s="21"/>
    </row>
    <row r="11" ht="42.75" spans="1:10">
      <c r="A11" s="12">
        <v>8</v>
      </c>
      <c r="B11" s="8" t="s">
        <v>45</v>
      </c>
      <c r="C11" s="8" t="s">
        <v>46</v>
      </c>
      <c r="D11" s="8" t="s">
        <v>47</v>
      </c>
      <c r="E11" s="9" t="s">
        <v>15</v>
      </c>
      <c r="F11" s="10" t="s">
        <v>16</v>
      </c>
      <c r="G11" s="9" t="s">
        <v>43</v>
      </c>
      <c r="H11" s="11" t="s">
        <v>48</v>
      </c>
      <c r="I11" s="11" t="e">
        <f>F11*H11</f>
        <v>#VALUE!</v>
      </c>
      <c r="J11" s="21"/>
    </row>
    <row r="12" ht="18" spans="1:10">
      <c r="A12" s="13"/>
      <c r="B12" s="14"/>
      <c r="C12" s="14" t="s">
        <v>49</v>
      </c>
      <c r="D12" s="14"/>
      <c r="E12" s="14"/>
      <c r="F12" s="14"/>
      <c r="G12" s="14"/>
      <c r="H12" s="15"/>
      <c r="I12" s="22" t="e">
        <f>SUM(I4:I11)</f>
        <v>#VALUE!</v>
      </c>
      <c r="J12" s="23"/>
    </row>
  </sheetData>
  <mergeCells count="4">
    <mergeCell ref="A1:J1"/>
    <mergeCell ref="A3:J3"/>
    <mergeCell ref="A12:B12"/>
    <mergeCell ref="C12:G12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LCD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hmlin</cp:lastModifiedBy>
  <dcterms:created xsi:type="dcterms:W3CDTF">2023-05-12T11:15:00Z</dcterms:created>
  <dcterms:modified xsi:type="dcterms:W3CDTF">2025-05-01T14:47:26Z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944860CBE70A4652A154F88AF91ED92B_12</vt:lpwstr>
  </property>
</Properties>
</file>